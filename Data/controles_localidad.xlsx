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IDEAPAD 510\Documents\Universidad Nacional\Tesis maestría\Experiment\Análisis\Analysis_Thesis\Data\"/>
    </mc:Choice>
  </mc:AlternateContent>
  <xr:revisionPtr revIDLastSave="0" documentId="10_ncr:100000_{D4AFD5A3-A3FE-4ED0-835D-276198A495CB}" xr6:coauthVersionLast="31" xr6:coauthVersionMax="31" xr10:uidLastSave="{00000000-0000-0000-0000-000000000000}"/>
  <bookViews>
    <workbookView xWindow="0" yWindow="0" windowWidth="20490" windowHeight="7545" xr2:uid="{09380EE1-E202-491A-8282-4DC880049008}"/>
  </bookViews>
  <sheets>
    <sheet name="Hoja1" sheetId="1" r:id="rId1"/>
  </sheets>
  <definedNames>
    <definedName name="_xlnm._FilterDatabase" localSheetId="0" hidden="1">Hoja1!$A$1:$P$1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1" l="1"/>
  <c r="P19" i="1"/>
  <c r="P15" i="1"/>
  <c r="P14" i="1"/>
  <c r="P13" i="1"/>
  <c r="P12" i="1"/>
  <c r="P8" i="1"/>
  <c r="P7" i="1"/>
  <c r="P6" i="1"/>
  <c r="P4" i="1"/>
  <c r="M6" i="1"/>
  <c r="M15" i="1"/>
  <c r="M14" i="1"/>
  <c r="M20" i="1"/>
  <c r="M18" i="1"/>
  <c r="M4" i="1"/>
  <c r="M10" i="1"/>
  <c r="M9" i="1"/>
  <c r="M8" i="1"/>
  <c r="M16" i="1"/>
  <c r="M3" i="1"/>
  <c r="M17" i="1"/>
  <c r="M11" i="1"/>
  <c r="M2" i="1"/>
  <c r="M12" i="1"/>
  <c r="M5" i="1"/>
  <c r="M13" i="1"/>
  <c r="M7" i="1"/>
  <c r="M19" i="1"/>
  <c r="K6" i="1" l="1"/>
  <c r="K15" i="1"/>
  <c r="K14" i="1"/>
  <c r="K20" i="1"/>
  <c r="K18" i="1"/>
  <c r="K4" i="1"/>
  <c r="K10" i="1"/>
  <c r="K9" i="1"/>
  <c r="K8" i="1"/>
  <c r="K16" i="1"/>
  <c r="K3" i="1"/>
  <c r="K17" i="1"/>
  <c r="K11" i="1"/>
  <c r="K2" i="1"/>
  <c r="K12" i="1"/>
  <c r="K5" i="1"/>
  <c r="K13" i="1"/>
  <c r="K7" i="1"/>
  <c r="K19" i="1"/>
  <c r="I6" i="1" l="1"/>
  <c r="I15" i="1"/>
  <c r="I14" i="1"/>
  <c r="I20" i="1"/>
  <c r="I18" i="1"/>
  <c r="I4" i="1"/>
  <c r="I10" i="1"/>
  <c r="I9" i="1"/>
  <c r="I8" i="1"/>
  <c r="I16" i="1"/>
  <c r="I3" i="1"/>
  <c r="I17" i="1"/>
  <c r="I11" i="1"/>
  <c r="I2" i="1"/>
  <c r="I12" i="1"/>
  <c r="I5" i="1"/>
  <c r="I13" i="1"/>
  <c r="I7" i="1"/>
  <c r="I19" i="1"/>
  <c r="H6" i="1"/>
  <c r="H15" i="1"/>
  <c r="H14" i="1"/>
  <c r="H20" i="1"/>
  <c r="H18" i="1"/>
  <c r="H4" i="1"/>
  <c r="H10" i="1"/>
  <c r="H9" i="1"/>
  <c r="H8" i="1"/>
  <c r="H16" i="1"/>
  <c r="H3" i="1"/>
  <c r="H17" i="1"/>
  <c r="H11" i="1"/>
  <c r="H2" i="1"/>
  <c r="H12" i="1"/>
  <c r="H5" i="1"/>
  <c r="H13" i="1"/>
  <c r="H7" i="1"/>
  <c r="H19" i="1"/>
</calcChain>
</file>

<file path=xl/sharedStrings.xml><?xml version="1.0" encoding="utf-8"?>
<sst xmlns="http://schemas.openxmlformats.org/spreadsheetml/2006/main" count="38" uniqueCount="38">
  <si>
    <t>numero localidad</t>
  </si>
  <si>
    <t>localidad</t>
  </si>
  <si>
    <t>usaquen</t>
  </si>
  <si>
    <t>chapinero</t>
  </si>
  <si>
    <t>santa fe</t>
  </si>
  <si>
    <t>san cristobal</t>
  </si>
  <si>
    <t>usme</t>
  </si>
  <si>
    <t>tunjuelito</t>
  </si>
  <si>
    <t>bosa</t>
  </si>
  <si>
    <t>kennedy</t>
  </si>
  <si>
    <t>fontibon</t>
  </si>
  <si>
    <t>engativa</t>
  </si>
  <si>
    <t>suba</t>
  </si>
  <si>
    <t>barrios unidos</t>
  </si>
  <si>
    <t>teusaquillo</t>
  </si>
  <si>
    <t>los martires</t>
  </si>
  <si>
    <t>antonio nariño</t>
  </si>
  <si>
    <t>puente aranda</t>
  </si>
  <si>
    <t>candelaria</t>
  </si>
  <si>
    <t>rafael uribe uribe</t>
  </si>
  <si>
    <t>ciudad bolivar</t>
  </si>
  <si>
    <t>educacion</t>
  </si>
  <si>
    <t>hurtos_2017</t>
  </si>
  <si>
    <t>tasa_homicidio_2018</t>
  </si>
  <si>
    <t>tasa_homicidio_2017</t>
  </si>
  <si>
    <t>poblacion_2018</t>
  </si>
  <si>
    <t>poblacion_2017</t>
  </si>
  <si>
    <t>homcidios_2017</t>
  </si>
  <si>
    <t>homicidios_2018</t>
  </si>
  <si>
    <t>tasa_hurtos_2017</t>
  </si>
  <si>
    <t>hurtos_2018</t>
  </si>
  <si>
    <t>tasa_hurtos_2018</t>
  </si>
  <si>
    <t>movilidad</t>
  </si>
  <si>
    <t>estrato_1_y_2</t>
  </si>
  <si>
    <t>orden normal</t>
  </si>
  <si>
    <t>gasto_semanal</t>
  </si>
  <si>
    <t>precepcion_inseguridad</t>
  </si>
  <si>
    <t>vivienda_propia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</si>
</sst>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1E44-8B26-4D46-9D09-2AD521859436}">
  <dimension ref="A1:S20"/>
  <sheetViews>
    <sheetView tabSelected="1" workbookViewId="0">
      <selection activeCell="C4" sqref="C4"/>
    </sheetView>
  </sheetViews>
  <sheetFormatPr baseColWidth="10" defaultRowHeight="15" x14ac:dyDescent="0.25"/>
  <cols>
    <col min="3" max="3" width="16.5703125" bestFit="1" customWidth="1"/>
    <col min="8" max="8" width="12" bestFit="1" customWidth="1"/>
    <col min="11" max="11" width="16.42578125" bestFit="1" customWidth="1"/>
    <col min="12" max="12" width="11.7109375" bestFit="1" customWidth="1"/>
    <col min="13" max="13" width="16.42578125" bestFit="1" customWidth="1"/>
  </cols>
  <sheetData>
    <row r="1" spans="1:19" x14ac:dyDescent="0.25">
      <c r="A1" t="s">
        <v>0</v>
      </c>
      <c r="B1" t="s">
        <v>34</v>
      </c>
      <c r="C1" t="s">
        <v>1</v>
      </c>
      <c r="D1" t="s">
        <v>27</v>
      </c>
      <c r="E1" t="s">
        <v>28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29</v>
      </c>
      <c r="L1" t="s">
        <v>30</v>
      </c>
      <c r="M1" t="s">
        <v>31</v>
      </c>
      <c r="N1" t="s">
        <v>35</v>
      </c>
      <c r="O1" t="s">
        <v>21</v>
      </c>
      <c r="P1" t="s">
        <v>33</v>
      </c>
      <c r="Q1" t="s">
        <v>32</v>
      </c>
      <c r="R1" t="s">
        <v>37</v>
      </c>
      <c r="S1" t="s">
        <v>36</v>
      </c>
    </row>
    <row r="2" spans="1:19" x14ac:dyDescent="0.25">
      <c r="A2">
        <v>16</v>
      </c>
      <c r="B2">
        <v>15</v>
      </c>
      <c r="C2" t="s">
        <v>16</v>
      </c>
      <c r="D2">
        <v>13</v>
      </c>
      <c r="E2">
        <v>13</v>
      </c>
      <c r="F2">
        <v>109254</v>
      </c>
      <c r="G2">
        <v>109199</v>
      </c>
      <c r="H2">
        <f>(D2/F2)*100000</f>
        <v>11.898877844289455</v>
      </c>
      <c r="I2">
        <f>(E2/G2)*100000</f>
        <v>11.904870923726408</v>
      </c>
      <c r="J2">
        <v>1519</v>
      </c>
      <c r="K2">
        <f>(J2/F2)*100000</f>
        <v>1390.3381111904368</v>
      </c>
      <c r="L2">
        <v>1488</v>
      </c>
      <c r="M2">
        <f>(L2/G2)*100000</f>
        <v>1362.6498411157611</v>
      </c>
      <c r="N2">
        <v>180644.1</v>
      </c>
      <c r="O2">
        <v>11.9864</v>
      </c>
      <c r="P2">
        <v>7.83</v>
      </c>
      <c r="Q2">
        <v>72.55</v>
      </c>
      <c r="R2">
        <v>54.58</v>
      </c>
      <c r="S2">
        <v>72.900000000000006</v>
      </c>
    </row>
    <row r="3" spans="1:19" x14ac:dyDescent="0.25">
      <c r="A3">
        <v>12</v>
      </c>
      <c r="B3">
        <v>12</v>
      </c>
      <c r="C3" t="s">
        <v>13</v>
      </c>
      <c r="D3">
        <v>12</v>
      </c>
      <c r="E3">
        <v>12</v>
      </c>
      <c r="F3">
        <v>267106</v>
      </c>
      <c r="G3">
        <v>270280</v>
      </c>
      <c r="H3">
        <f>(D3/F3)*100000</f>
        <v>4.4925984440634057</v>
      </c>
      <c r="I3">
        <f>(E3/G3)*100000</f>
        <v>4.439840165754033</v>
      </c>
      <c r="J3">
        <v>3288</v>
      </c>
      <c r="K3">
        <f>(J3/F3)*100000</f>
        <v>1230.9719736733732</v>
      </c>
      <c r="L3">
        <v>3728</v>
      </c>
      <c r="M3">
        <f>(L3/G3)*100000</f>
        <v>1379.3103448275863</v>
      </c>
      <c r="N3">
        <v>170833.1</v>
      </c>
      <c r="O3">
        <v>13.422499999999999</v>
      </c>
      <c r="P3">
        <v>0.05</v>
      </c>
      <c r="Q3">
        <v>72.61</v>
      </c>
      <c r="R3">
        <v>53.550000000000004</v>
      </c>
      <c r="S3">
        <v>49.63</v>
      </c>
    </row>
    <row r="4" spans="1:19" x14ac:dyDescent="0.25">
      <c r="A4">
        <v>5</v>
      </c>
      <c r="B4">
        <v>7</v>
      </c>
      <c r="C4" t="s">
        <v>8</v>
      </c>
      <c r="D4">
        <v>122</v>
      </c>
      <c r="E4">
        <v>101</v>
      </c>
      <c r="F4">
        <v>731047</v>
      </c>
      <c r="G4">
        <v>753496</v>
      </c>
      <c r="H4">
        <f>(D4/F4)*100000</f>
        <v>16.688393495903821</v>
      </c>
      <c r="I4">
        <f>(E4/G4)*100000</f>
        <v>13.404185290963721</v>
      </c>
      <c r="J4">
        <v>3086</v>
      </c>
      <c r="K4">
        <f>(J4/F4)*100000</f>
        <v>422.1342813799933</v>
      </c>
      <c r="L4">
        <v>3552</v>
      </c>
      <c r="M4">
        <f>(L4/G4)*100000</f>
        <v>471.40263518319938</v>
      </c>
      <c r="N4">
        <v>110325.6</v>
      </c>
      <c r="O4">
        <v>9.9123999999999999</v>
      </c>
      <c r="P4">
        <f>8.9+79.79</f>
        <v>88.690000000000012</v>
      </c>
      <c r="Q4">
        <v>68.67</v>
      </c>
      <c r="R4">
        <v>54.41</v>
      </c>
      <c r="S4">
        <v>74.81</v>
      </c>
    </row>
    <row r="5" spans="1:19" x14ac:dyDescent="0.25">
      <c r="A5">
        <v>19</v>
      </c>
      <c r="B5">
        <v>17</v>
      </c>
      <c r="C5" t="s">
        <v>18</v>
      </c>
      <c r="D5">
        <v>6</v>
      </c>
      <c r="E5">
        <v>3</v>
      </c>
      <c r="F5">
        <v>22438</v>
      </c>
      <c r="G5">
        <v>22243</v>
      </c>
      <c r="H5">
        <f>(D5/F5)*100000</f>
        <v>26.740351189945631</v>
      </c>
      <c r="I5">
        <f>(E5/G5)*100000</f>
        <v>13.487389291012903</v>
      </c>
      <c r="J5">
        <v>1025</v>
      </c>
      <c r="K5">
        <f>(J5/F5)*100000</f>
        <v>4568.1433282823782</v>
      </c>
      <c r="L5">
        <v>1294</v>
      </c>
      <c r="M5">
        <f>(L5/G5)*100000</f>
        <v>5817.5605808568989</v>
      </c>
      <c r="N5">
        <v>106527.7</v>
      </c>
      <c r="O5">
        <v>12.5366</v>
      </c>
      <c r="P5">
        <v>10.53</v>
      </c>
      <c r="Q5">
        <v>81.12</v>
      </c>
      <c r="R5">
        <v>45.23</v>
      </c>
      <c r="S5">
        <v>63.2</v>
      </c>
    </row>
    <row r="6" spans="1:19" x14ac:dyDescent="0.25">
      <c r="A6">
        <v>15</v>
      </c>
      <c r="B6">
        <v>2</v>
      </c>
      <c r="C6" t="s">
        <v>3</v>
      </c>
      <c r="D6">
        <v>10</v>
      </c>
      <c r="E6">
        <v>10</v>
      </c>
      <c r="F6">
        <v>126591</v>
      </c>
      <c r="G6">
        <v>126192</v>
      </c>
      <c r="H6">
        <f>(D6/F6)*100000</f>
        <v>7.8994557275003752</v>
      </c>
      <c r="I6">
        <f>(E6/G6)*100000</f>
        <v>7.9244326106250798</v>
      </c>
      <c r="J6">
        <v>6518</v>
      </c>
      <c r="K6">
        <f>(J6/F6)*100000</f>
        <v>5148.865243184744</v>
      </c>
      <c r="L6">
        <v>7917</v>
      </c>
      <c r="M6">
        <f>(L6/G6)*100000</f>
        <v>6273.7732978318754</v>
      </c>
      <c r="N6">
        <v>63058.48</v>
      </c>
      <c r="O6">
        <v>14.816000000000001</v>
      </c>
      <c r="P6">
        <f>1.57+37.37</f>
        <v>38.94</v>
      </c>
      <c r="Q6">
        <v>82.38</v>
      </c>
      <c r="R6">
        <v>55.47</v>
      </c>
      <c r="S6">
        <v>40.31</v>
      </c>
    </row>
    <row r="7" spans="1:19" x14ac:dyDescent="0.25">
      <c r="A7">
        <v>4</v>
      </c>
      <c r="B7">
        <v>19</v>
      </c>
      <c r="C7" t="s">
        <v>20</v>
      </c>
      <c r="D7">
        <v>213</v>
      </c>
      <c r="E7">
        <v>253</v>
      </c>
      <c r="F7">
        <v>733859</v>
      </c>
      <c r="G7">
        <v>748012</v>
      </c>
      <c r="H7">
        <f>(D7/F7)*100000</f>
        <v>29.024649149223489</v>
      </c>
      <c r="I7">
        <f>(E7/G7)*100000</f>
        <v>33.822986797003253</v>
      </c>
      <c r="J7">
        <v>2413</v>
      </c>
      <c r="K7">
        <f>(J7/F7)*100000</f>
        <v>328.80975773275247</v>
      </c>
      <c r="L7">
        <v>2550</v>
      </c>
      <c r="M7">
        <f>(L7/G7)*100000</f>
        <v>340.90362186702885</v>
      </c>
      <c r="N7">
        <v>108358.39999999999</v>
      </c>
      <c r="O7">
        <v>9.4228000000000005</v>
      </c>
      <c r="P7">
        <f>51.49+40.24</f>
        <v>91.73</v>
      </c>
      <c r="Q7">
        <v>65.27</v>
      </c>
      <c r="R7">
        <v>47.94</v>
      </c>
      <c r="S7">
        <v>75.540000000000006</v>
      </c>
    </row>
    <row r="8" spans="1:19" x14ac:dyDescent="0.25">
      <c r="A8">
        <v>3</v>
      </c>
      <c r="B8">
        <v>10</v>
      </c>
      <c r="C8" t="s">
        <v>11</v>
      </c>
      <c r="D8">
        <v>69</v>
      </c>
      <c r="E8">
        <v>32</v>
      </c>
      <c r="F8">
        <v>878434</v>
      </c>
      <c r="G8">
        <v>883319</v>
      </c>
      <c r="H8">
        <f>(D8/F8)*100000</f>
        <v>7.8548872197569768</v>
      </c>
      <c r="I8">
        <f>(E8/G8)*100000</f>
        <v>3.6227002928726773</v>
      </c>
      <c r="J8">
        <v>6782</v>
      </c>
      <c r="K8">
        <f>(J8/F8)*100000</f>
        <v>772.05572644046117</v>
      </c>
      <c r="L8">
        <v>7757</v>
      </c>
      <c r="M8">
        <f>(L8/G8)*100000</f>
        <v>878.16519286916741</v>
      </c>
      <c r="N8">
        <v>88325.440000000002</v>
      </c>
      <c r="O8">
        <v>12.0982</v>
      </c>
      <c r="P8">
        <f>0.64+18.18</f>
        <v>18.82</v>
      </c>
      <c r="Q8">
        <v>60.89</v>
      </c>
      <c r="R8">
        <v>55.38</v>
      </c>
      <c r="S8">
        <v>62.31</v>
      </c>
    </row>
    <row r="9" spans="1:19" x14ac:dyDescent="0.25">
      <c r="A9">
        <v>9</v>
      </c>
      <c r="B9">
        <v>9</v>
      </c>
      <c r="C9" t="s">
        <v>10</v>
      </c>
      <c r="D9">
        <v>20</v>
      </c>
      <c r="E9">
        <v>18</v>
      </c>
      <c r="F9">
        <v>413734</v>
      </c>
      <c r="G9">
        <v>424038</v>
      </c>
      <c r="H9">
        <f>(D9/F9)*100000</f>
        <v>4.8340237930651098</v>
      </c>
      <c r="I9">
        <f>(E9/G9)*100000</f>
        <v>4.2449025794858013</v>
      </c>
      <c r="J9">
        <v>4395</v>
      </c>
      <c r="K9">
        <f>(J9/F9)*100000</f>
        <v>1062.2767285260577</v>
      </c>
      <c r="L9">
        <v>4913</v>
      </c>
      <c r="M9">
        <f>(L9/G9)*100000</f>
        <v>1158.6225762785411</v>
      </c>
      <c r="N9">
        <v>102183.2</v>
      </c>
      <c r="O9">
        <v>12.497199999999999</v>
      </c>
      <c r="P9">
        <v>24.45</v>
      </c>
      <c r="Q9">
        <v>72.13</v>
      </c>
      <c r="R9">
        <v>58.28</v>
      </c>
      <c r="S9">
        <v>51.61</v>
      </c>
    </row>
    <row r="10" spans="1:19" x14ac:dyDescent="0.25">
      <c r="A10">
        <v>1</v>
      </c>
      <c r="B10">
        <v>8</v>
      </c>
      <c r="C10" t="s">
        <v>9</v>
      </c>
      <c r="D10">
        <v>125</v>
      </c>
      <c r="E10">
        <v>138</v>
      </c>
      <c r="F10">
        <v>1208980</v>
      </c>
      <c r="G10">
        <v>1230539</v>
      </c>
      <c r="H10">
        <f>(D10/F10)*100000</f>
        <v>10.339294281129547</v>
      </c>
      <c r="I10">
        <f>(E10/G10)*100000</f>
        <v>11.214597830706706</v>
      </c>
      <c r="J10">
        <v>8073</v>
      </c>
      <c r="K10">
        <f>(J10/F10)*100000</f>
        <v>667.75298185247073</v>
      </c>
      <c r="L10">
        <v>8804</v>
      </c>
      <c r="M10">
        <f>(L10/G10)*100000</f>
        <v>715.45883551841916</v>
      </c>
      <c r="N10">
        <v>150052.70000000001</v>
      </c>
      <c r="O10">
        <v>11.122</v>
      </c>
      <c r="P10">
        <v>61.43</v>
      </c>
      <c r="Q10">
        <v>69</v>
      </c>
      <c r="R10">
        <v>52.38</v>
      </c>
      <c r="S10">
        <v>70</v>
      </c>
    </row>
    <row r="11" spans="1:19" x14ac:dyDescent="0.25">
      <c r="A11">
        <v>18</v>
      </c>
      <c r="B11">
        <v>14</v>
      </c>
      <c r="C11" t="s">
        <v>15</v>
      </c>
      <c r="D11">
        <v>55</v>
      </c>
      <c r="E11">
        <v>54</v>
      </c>
      <c r="F11">
        <v>93716</v>
      </c>
      <c r="G11">
        <v>93248</v>
      </c>
      <c r="H11">
        <f>(D11/F11)*100000</f>
        <v>58.687950830167743</v>
      </c>
      <c r="I11">
        <f>(E11/G11)*100000</f>
        <v>57.910089224433769</v>
      </c>
      <c r="J11">
        <v>2901</v>
      </c>
      <c r="K11">
        <f>(J11/F11)*100000</f>
        <v>3095.522642878484</v>
      </c>
      <c r="L11">
        <v>3330</v>
      </c>
      <c r="M11">
        <f>(L11/G11)*100000</f>
        <v>3571.1221688400824</v>
      </c>
      <c r="N11">
        <v>131479.9</v>
      </c>
      <c r="O11">
        <v>11.7942</v>
      </c>
      <c r="P11">
        <v>6.47</v>
      </c>
      <c r="Q11">
        <v>79.819999999999993</v>
      </c>
      <c r="R11">
        <v>45.03</v>
      </c>
      <c r="S11">
        <v>86.47</v>
      </c>
    </row>
    <row r="12" spans="1:19" x14ac:dyDescent="0.25">
      <c r="A12">
        <v>11</v>
      </c>
      <c r="B12">
        <v>16</v>
      </c>
      <c r="C12" t="s">
        <v>17</v>
      </c>
      <c r="D12">
        <v>26</v>
      </c>
      <c r="E12">
        <v>26</v>
      </c>
      <c r="F12">
        <v>221906</v>
      </c>
      <c r="G12">
        <v>218555</v>
      </c>
      <c r="H12">
        <f>(D12/F12)*100000</f>
        <v>11.716672825430589</v>
      </c>
      <c r="I12">
        <f>(E12/G12)*100000</f>
        <v>11.896319004369609</v>
      </c>
      <c r="J12">
        <v>3092</v>
      </c>
      <c r="K12">
        <f>(J12/F12)*100000</f>
        <v>1393.3827837012068</v>
      </c>
      <c r="L12">
        <v>3440</v>
      </c>
      <c r="M12">
        <f>(L12/G12)*100000</f>
        <v>1573.9745144242868</v>
      </c>
      <c r="N12">
        <v>162526.6</v>
      </c>
      <c r="O12">
        <v>11.8399</v>
      </c>
      <c r="P12">
        <f>5.91+1.16</f>
        <v>7.07</v>
      </c>
      <c r="Q12">
        <v>74.87</v>
      </c>
      <c r="R12">
        <v>43.85</v>
      </c>
      <c r="S12">
        <v>64.25</v>
      </c>
    </row>
    <row r="13" spans="1:19" x14ac:dyDescent="0.25">
      <c r="A13">
        <v>8</v>
      </c>
      <c r="B13">
        <v>18</v>
      </c>
      <c r="C13" t="s">
        <v>19</v>
      </c>
      <c r="D13">
        <v>103</v>
      </c>
      <c r="E13">
        <v>67</v>
      </c>
      <c r="F13">
        <v>350944</v>
      </c>
      <c r="G13">
        <v>348023</v>
      </c>
      <c r="H13">
        <f>(D13/F13)*100000</f>
        <v>29.349411871979576</v>
      </c>
      <c r="I13">
        <f>(E13/G13)*100000</f>
        <v>19.251601187277853</v>
      </c>
      <c r="J13">
        <v>2553</v>
      </c>
      <c r="K13">
        <f>(J13/F13)*100000</f>
        <v>727.46649038023156</v>
      </c>
      <c r="L13">
        <v>2688</v>
      </c>
      <c r="M13">
        <f>(L13/G13)*100000</f>
        <v>772.3627461403413</v>
      </c>
      <c r="N13">
        <v>139859.1</v>
      </c>
      <c r="O13">
        <v>10.198600000000001</v>
      </c>
      <c r="P13">
        <f>6.92+51.77</f>
        <v>58.690000000000005</v>
      </c>
      <c r="Q13">
        <v>66.430000000000007</v>
      </c>
      <c r="R13">
        <v>42.09</v>
      </c>
      <c r="S13">
        <v>79.739999999999995</v>
      </c>
    </row>
    <row r="14" spans="1:19" x14ac:dyDescent="0.25">
      <c r="A14">
        <v>7</v>
      </c>
      <c r="B14">
        <v>4</v>
      </c>
      <c r="C14" t="s">
        <v>5</v>
      </c>
      <c r="D14">
        <v>67</v>
      </c>
      <c r="E14">
        <v>52</v>
      </c>
      <c r="F14">
        <v>394358</v>
      </c>
      <c r="G14">
        <v>392220</v>
      </c>
      <c r="H14">
        <f>(D14/F14)*100000</f>
        <v>16.989638856064794</v>
      </c>
      <c r="I14">
        <f>(E14/G14)*100000</f>
        <v>13.257865483657131</v>
      </c>
      <c r="J14">
        <v>2100</v>
      </c>
      <c r="K14">
        <f>(J14/F14)*100000</f>
        <v>532.51106862292636</v>
      </c>
      <c r="L14">
        <v>2003</v>
      </c>
      <c r="M14">
        <f>(L14/G14)*100000</f>
        <v>510.68278007240838</v>
      </c>
      <c r="N14">
        <v>194137.7</v>
      </c>
      <c r="O14">
        <v>9.9186999999999994</v>
      </c>
      <c r="P14">
        <f>4.95+75.47</f>
        <v>80.42</v>
      </c>
      <c r="Q14">
        <v>46.06</v>
      </c>
      <c r="R14">
        <v>49.559999999999995</v>
      </c>
      <c r="S14">
        <v>72.41</v>
      </c>
    </row>
    <row r="15" spans="1:19" x14ac:dyDescent="0.25">
      <c r="A15">
        <v>17</v>
      </c>
      <c r="B15">
        <v>3</v>
      </c>
      <c r="C15" t="s">
        <v>4</v>
      </c>
      <c r="D15">
        <v>42</v>
      </c>
      <c r="E15">
        <v>31</v>
      </c>
      <c r="F15">
        <v>95201</v>
      </c>
      <c r="G15">
        <v>93857</v>
      </c>
      <c r="H15">
        <f>(D15/F15)*100000</f>
        <v>44.117183643028959</v>
      </c>
      <c r="I15">
        <f>(E15/G15)*100000</f>
        <v>33.028969602693458</v>
      </c>
      <c r="J15">
        <v>4458</v>
      </c>
      <c r="K15">
        <f>(J15/F15)*100000</f>
        <v>4682.7239209672171</v>
      </c>
      <c r="L15">
        <v>5701</v>
      </c>
      <c r="M15">
        <f>(L15/G15)*100000</f>
        <v>6074.1340549985616</v>
      </c>
      <c r="N15">
        <v>123331.5</v>
      </c>
      <c r="O15">
        <v>10.8331</v>
      </c>
      <c r="P15">
        <f>4.43+61.23</f>
        <v>65.66</v>
      </c>
      <c r="Q15">
        <v>82.65</v>
      </c>
      <c r="R15">
        <v>40.58</v>
      </c>
      <c r="S15">
        <v>68.34</v>
      </c>
    </row>
    <row r="16" spans="1:19" x14ac:dyDescent="0.25">
      <c r="A16">
        <v>2</v>
      </c>
      <c r="B16">
        <v>11</v>
      </c>
      <c r="C16" t="s">
        <v>12</v>
      </c>
      <c r="D16">
        <v>93</v>
      </c>
      <c r="E16">
        <v>87</v>
      </c>
      <c r="F16">
        <v>1282978</v>
      </c>
      <c r="G16">
        <v>1315509</v>
      </c>
      <c r="H16">
        <f>(D16/F16)*100000</f>
        <v>7.2487603061003378</v>
      </c>
      <c r="I16">
        <f>(E16/G16)*100000</f>
        <v>6.6134097144147246</v>
      </c>
      <c r="J16">
        <v>8346</v>
      </c>
      <c r="K16">
        <f>(J16/F16)*100000</f>
        <v>650.51777972810135</v>
      </c>
      <c r="L16">
        <v>8913</v>
      </c>
      <c r="M16">
        <f>(L16/G16)*100000</f>
        <v>677.53242281124653</v>
      </c>
      <c r="N16">
        <v>178164.7</v>
      </c>
      <c r="O16">
        <v>12.354900000000001</v>
      </c>
      <c r="P16">
        <v>20.8</v>
      </c>
      <c r="Q16">
        <v>71.040000000000006</v>
      </c>
      <c r="R16">
        <v>60.69</v>
      </c>
      <c r="S16">
        <v>42.58</v>
      </c>
    </row>
    <row r="17" spans="1:19" x14ac:dyDescent="0.25">
      <c r="A17">
        <v>14</v>
      </c>
      <c r="B17">
        <v>13</v>
      </c>
      <c r="C17" t="s">
        <v>14</v>
      </c>
      <c r="D17">
        <v>8</v>
      </c>
      <c r="E17">
        <v>6</v>
      </c>
      <c r="F17">
        <v>140473</v>
      </c>
      <c r="G17">
        <v>140135</v>
      </c>
      <c r="H17">
        <f>(D17/F17)*100000</f>
        <v>5.6950445993180185</v>
      </c>
      <c r="I17">
        <f>(E17/G17)*100000</f>
        <v>4.2815856138723376</v>
      </c>
      <c r="J17">
        <v>4789</v>
      </c>
      <c r="K17">
        <f>(J17/F17)*100000</f>
        <v>3409.1960732667485</v>
      </c>
      <c r="L17">
        <v>5387</v>
      </c>
      <c r="M17">
        <f>(L17/G17)*100000</f>
        <v>3844.1502836550471</v>
      </c>
      <c r="N17">
        <v>122156</v>
      </c>
      <c r="O17">
        <v>15.1975</v>
      </c>
      <c r="P17">
        <v>0.64</v>
      </c>
      <c r="Q17">
        <v>80.02</v>
      </c>
      <c r="R17">
        <v>59.59</v>
      </c>
      <c r="S17">
        <v>51.33</v>
      </c>
    </row>
    <row r="18" spans="1:19" x14ac:dyDescent="0.25">
      <c r="A18">
        <v>13</v>
      </c>
      <c r="B18">
        <v>6</v>
      </c>
      <c r="C18" t="s">
        <v>7</v>
      </c>
      <c r="D18">
        <v>26</v>
      </c>
      <c r="E18">
        <v>23</v>
      </c>
      <c r="F18">
        <v>187971</v>
      </c>
      <c r="G18">
        <v>186383</v>
      </c>
      <c r="H18">
        <f>(D18/F18)*100000</f>
        <v>13.831920881412557</v>
      </c>
      <c r="I18">
        <f>(E18/G18)*100000</f>
        <v>12.340181239705339</v>
      </c>
      <c r="J18">
        <v>1630</v>
      </c>
      <c r="K18">
        <f>(J18/F18)*100000</f>
        <v>867.15503987317197</v>
      </c>
      <c r="L18">
        <v>1747</v>
      </c>
      <c r="M18">
        <f>(L18/G18)*100000</f>
        <v>937.31724459848806</v>
      </c>
      <c r="N18">
        <v>129771.4</v>
      </c>
      <c r="O18">
        <v>10.694100000000001</v>
      </c>
      <c r="P18">
        <v>64.489999999999995</v>
      </c>
      <c r="Q18">
        <v>47.6</v>
      </c>
      <c r="R18">
        <v>36</v>
      </c>
      <c r="S18">
        <v>79.36</v>
      </c>
    </row>
    <row r="19" spans="1:19" x14ac:dyDescent="0.25">
      <c r="A19">
        <v>6</v>
      </c>
      <c r="B19">
        <v>1</v>
      </c>
      <c r="C19" t="s">
        <v>2</v>
      </c>
      <c r="D19">
        <v>34</v>
      </c>
      <c r="E19">
        <v>31</v>
      </c>
      <c r="F19">
        <v>474186</v>
      </c>
      <c r="G19">
        <v>475275</v>
      </c>
      <c r="H19">
        <f>(D19/F19)*100000</f>
        <v>7.1701821648045279</v>
      </c>
      <c r="I19">
        <f>(E19/G19)*100000</f>
        <v>6.5225395823470622</v>
      </c>
      <c r="J19">
        <v>7422</v>
      </c>
      <c r="K19">
        <f>(J19/F19)*100000</f>
        <v>1565.2085890346827</v>
      </c>
      <c r="L19">
        <v>8764</v>
      </c>
      <c r="M19">
        <f>(L19/G19)*100000</f>
        <v>1843.9850612803114</v>
      </c>
      <c r="N19">
        <v>103070.39999999999</v>
      </c>
      <c r="O19">
        <v>13.821199999999999</v>
      </c>
      <c r="P19">
        <f>3.45+6.19</f>
        <v>9.64</v>
      </c>
      <c r="Q19">
        <v>62.34</v>
      </c>
      <c r="R19">
        <v>59.94</v>
      </c>
      <c r="S19">
        <v>46.72</v>
      </c>
    </row>
    <row r="20" spans="1:19" x14ac:dyDescent="0.25">
      <c r="A20">
        <v>10</v>
      </c>
      <c r="B20">
        <v>5</v>
      </c>
      <c r="C20" t="s">
        <v>6</v>
      </c>
      <c r="D20">
        <v>93</v>
      </c>
      <c r="E20">
        <v>84</v>
      </c>
      <c r="F20">
        <v>340101</v>
      </c>
      <c r="G20">
        <v>342940</v>
      </c>
      <c r="H20">
        <f>(D20/F20)*100000</f>
        <v>27.344818156959256</v>
      </c>
      <c r="I20">
        <f>(E20/G20)*100000</f>
        <v>24.494080597189011</v>
      </c>
      <c r="J20">
        <v>1319</v>
      </c>
      <c r="K20">
        <f>(J20/F20)*100000</f>
        <v>387.82596934440062</v>
      </c>
      <c r="L20">
        <v>1458</v>
      </c>
      <c r="M20">
        <f>(L20/G20)*100000</f>
        <v>425.14725607978073</v>
      </c>
      <c r="N20">
        <v>85940.84</v>
      </c>
      <c r="O20">
        <v>9.1625999999999994</v>
      </c>
      <c r="P20">
        <f>54.59+45.09</f>
        <v>99.68</v>
      </c>
      <c r="Q20">
        <v>65.3</v>
      </c>
      <c r="R20">
        <v>52.36</v>
      </c>
      <c r="S20">
        <v>65.989999999999995</v>
      </c>
    </row>
  </sheetData>
  <autoFilter ref="A1:Q1" xr:uid="{4510140F-2C25-48D7-83E9-2E0B35052A8C}">
    <sortState ref="A2:Q20">
      <sortCondition ref="O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 510</dc:creator>
  <cp:lastModifiedBy>LENOVO IDEAPAD 510</cp:lastModifiedBy>
  <dcterms:created xsi:type="dcterms:W3CDTF">2019-01-16T18:22:21Z</dcterms:created>
  <dcterms:modified xsi:type="dcterms:W3CDTF">2019-01-18T04:04:16Z</dcterms:modified>
</cp:coreProperties>
</file>